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料" sheetId="1" state="visible" r:id="rId1"/>
    <sheet xmlns:r="http://schemas.openxmlformats.org/officeDocument/2006/relationships" name="圖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374C34"/>
    </font>
    <font>
      <b val="1"/>
      <color rgb="00374C34"/>
      <sz val="16"/>
    </font>
    <font>
      <color rgb="005D675B"/>
      <sz val="11"/>
    </font>
    <font>
      <i val="1"/>
      <color rgb="005D7F58"/>
      <sz val="10"/>
    </font>
    <font>
      <color rgb="007A8778"/>
      <sz val="9"/>
    </font>
  </fonts>
  <fills count="3">
    <fill>
      <patternFill/>
    </fill>
    <fill>
      <patternFill patternType="gray125"/>
    </fill>
    <fill>
      <patternFill patternType="solid">
        <fgColor rgb="00F2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plotArea>
      <barChart>
        <barDir val="col"/>
        <grouping val="clustered"/>
        <ser>
          <idx val="0"/>
          <order val="0"/>
          <tx>
            <strRef>
              <f>'資料'!C1</f>
            </strRef>
          </tx>
          <spPr>
            <a:solidFill xmlns:a="http://schemas.openxmlformats.org/drawingml/2006/main">
              <a:srgbClr val="739A6D"/>
            </a:solidFill>
            <a:ln xmlns:a="http://schemas.openxmlformats.org/drawingml/2006/main">
              <a:prstDash val="solid"/>
            </a:ln>
          </spPr>
          <cat>
            <numRef>
              <f>'資料'!$A$2:$A$29</f>
            </numRef>
          </cat>
          <val>
            <numRef>
              <f>'資料'!$C$2:$C$29</f>
            </numRef>
          </val>
        </ser>
        <gapWidth val="60"/>
        <axId val="10"/>
        <axId val="100"/>
      </barChart>
      <lineChart>
        <grouping val="standard"/>
        <ser>
          <idx val="1"/>
          <order val="1"/>
          <tx>
            <strRef>
              <f>'資料'!D1</f>
            </strRef>
          </tx>
          <spPr>
            <a:ln xmlns:a="http://schemas.openxmlformats.org/drawingml/2006/main" w="31750">
              <a:solidFill>
                <a:srgbClr val="374C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'資料'!$D$2:$D$29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每日新增（人）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date</t>
        </is>
      </c>
      <c r="B1" s="2" t="inlineStr">
        <is>
          <t>weekday</t>
        </is>
      </c>
      <c r="C1" s="2" t="inlineStr">
        <is>
          <t>new_cases</t>
        </is>
      </c>
      <c r="D1" s="2" t="inlineStr">
        <is>
          <t>ma_7</t>
        </is>
      </c>
    </row>
    <row r="2">
      <c r="A2" s="3" t="inlineStr">
        <is>
          <t>2026-04-24</t>
        </is>
      </c>
      <c r="B2" s="4" t="inlineStr">
        <is>
          <t>週五</t>
        </is>
      </c>
      <c r="C2" s="4" t="n">
        <v>1402</v>
      </c>
      <c r="D2" s="4">
        <f>AVERAGE(C2:C2)</f>
        <v/>
      </c>
    </row>
    <row r="3">
      <c r="A3" s="3" t="inlineStr">
        <is>
          <t>2026-04-25</t>
        </is>
      </c>
      <c r="B3" s="4" t="inlineStr">
        <is>
          <t>週六</t>
        </is>
      </c>
      <c r="C3" s="4" t="n">
        <v>1108</v>
      </c>
      <c r="D3" s="4">
        <f>AVERAGE(C2:C3)</f>
        <v/>
      </c>
    </row>
    <row r="4">
      <c r="A4" s="3" t="inlineStr">
        <is>
          <t>2026-04-26</t>
        </is>
      </c>
      <c r="B4" s="4" t="inlineStr">
        <is>
          <t>週日</t>
        </is>
      </c>
      <c r="C4" s="4" t="n">
        <v>1090</v>
      </c>
      <c r="D4" s="4">
        <f>AVERAGE(C2:C4)</f>
        <v/>
      </c>
    </row>
    <row r="5">
      <c r="A5" s="3" t="inlineStr">
        <is>
          <t>2026-04-27</t>
        </is>
      </c>
      <c r="B5" s="4" t="inlineStr">
        <is>
          <t>週一</t>
        </is>
      </c>
      <c r="C5" s="4" t="n">
        <v>1706</v>
      </c>
      <c r="D5" s="4">
        <f>AVERAGE(C2:C5)</f>
        <v/>
      </c>
    </row>
    <row r="6">
      <c r="A6" s="3" t="inlineStr">
        <is>
          <t>2026-04-28</t>
        </is>
      </c>
      <c r="B6" s="4" t="inlineStr">
        <is>
          <t>週二</t>
        </is>
      </c>
      <c r="C6" s="4" t="n">
        <v>1771</v>
      </c>
      <c r="D6" s="4">
        <f>AVERAGE(C2:C6)</f>
        <v/>
      </c>
    </row>
    <row r="7">
      <c r="A7" s="3" t="inlineStr">
        <is>
          <t>2026-04-29</t>
        </is>
      </c>
      <c r="B7" s="4" t="inlineStr">
        <is>
          <t>週三</t>
        </is>
      </c>
      <c r="C7" s="4" t="n">
        <v>1988</v>
      </c>
      <c r="D7" s="4">
        <f>AVERAGE(C2:C7)</f>
        <v/>
      </c>
    </row>
    <row r="8">
      <c r="A8" s="3" t="inlineStr">
        <is>
          <t>2026-04-30</t>
        </is>
      </c>
      <c r="B8" s="4" t="inlineStr">
        <is>
          <t>週四</t>
        </is>
      </c>
      <c r="C8" s="4" t="n">
        <v>1920</v>
      </c>
      <c r="D8" s="4">
        <f>AVERAGE(C2:C8)</f>
        <v/>
      </c>
    </row>
    <row r="9">
      <c r="A9" s="3" t="inlineStr">
        <is>
          <t>2026-05-01</t>
        </is>
      </c>
      <c r="B9" s="4" t="inlineStr">
        <is>
          <t>週五</t>
        </is>
      </c>
      <c r="C9" s="4" t="n">
        <v>2102</v>
      </c>
      <c r="D9" s="4">
        <f>AVERAGE(C3:C9)</f>
        <v/>
      </c>
    </row>
    <row r="10">
      <c r="A10" s="3" t="inlineStr">
        <is>
          <t>2026-05-02</t>
        </is>
      </c>
      <c r="B10" s="4" t="inlineStr">
        <is>
          <t>週六</t>
        </is>
      </c>
      <c r="C10" s="4" t="n">
        <v>1301</v>
      </c>
      <c r="D10" s="4">
        <f>AVERAGE(C4:C10)</f>
        <v/>
      </c>
    </row>
    <row r="11">
      <c r="A11" s="3" t="inlineStr">
        <is>
          <t>2026-05-03</t>
        </is>
      </c>
      <c r="B11" s="4" t="inlineStr">
        <is>
          <t>週日</t>
        </is>
      </c>
      <c r="C11" s="4" t="n">
        <v>1454</v>
      </c>
      <c r="D11" s="4">
        <f>AVERAGE(C5:C11)</f>
        <v/>
      </c>
    </row>
    <row r="12">
      <c r="A12" s="3" t="inlineStr">
        <is>
          <t>2026-05-04</t>
        </is>
      </c>
      <c r="B12" s="4" t="inlineStr">
        <is>
          <t>週一</t>
        </is>
      </c>
      <c r="C12" s="4" t="n">
        <v>2630</v>
      </c>
      <c r="D12" s="4">
        <f>AVERAGE(C6:C12)</f>
        <v/>
      </c>
    </row>
    <row r="13">
      <c r="A13" s="3" t="inlineStr">
        <is>
          <t>2026-05-05</t>
        </is>
      </c>
      <c r="B13" s="4" t="inlineStr">
        <is>
          <t>週二</t>
        </is>
      </c>
      <c r="C13" s="4" t="n">
        <v>2487</v>
      </c>
      <c r="D13" s="4">
        <f>AVERAGE(C7:C13)</f>
        <v/>
      </c>
    </row>
    <row r="14">
      <c r="A14" s="3" t="inlineStr">
        <is>
          <t>2026-05-06</t>
        </is>
      </c>
      <c r="B14" s="4" t="inlineStr">
        <is>
          <t>週三</t>
        </is>
      </c>
      <c r="C14" s="4" t="n">
        <v>2872</v>
      </c>
      <c r="D14" s="4">
        <f>AVERAGE(C8:C14)</f>
        <v/>
      </c>
    </row>
    <row r="15">
      <c r="A15" s="3" t="inlineStr">
        <is>
          <t>2026-05-07</t>
        </is>
      </c>
      <c r="B15" s="4" t="inlineStr">
        <is>
          <t>週四</t>
        </is>
      </c>
      <c r="C15" s="4" t="n">
        <v>2699</v>
      </c>
      <c r="D15" s="4">
        <f>AVERAGE(C9:C15)</f>
        <v/>
      </c>
    </row>
    <row r="16">
      <c r="A16" s="3" t="inlineStr">
        <is>
          <t>2026-05-08</t>
        </is>
      </c>
      <c r="B16" s="4" t="inlineStr">
        <is>
          <t>週五</t>
        </is>
      </c>
      <c r="C16" s="4" t="n">
        <v>3059</v>
      </c>
      <c r="D16" s="4">
        <f>AVERAGE(C10:C16)</f>
        <v/>
      </c>
    </row>
    <row r="17">
      <c r="A17" s="3" t="inlineStr">
        <is>
          <t>2026-05-09</t>
        </is>
      </c>
      <c r="B17" s="4" t="inlineStr">
        <is>
          <t>週六</t>
        </is>
      </c>
      <c r="C17" s="4" t="n">
        <v>1751</v>
      </c>
      <c r="D17" s="4">
        <f>AVERAGE(C11:C17)</f>
        <v/>
      </c>
    </row>
    <row r="18">
      <c r="A18" s="3" t="inlineStr">
        <is>
          <t>2026-05-10</t>
        </is>
      </c>
      <c r="B18" s="4" t="inlineStr">
        <is>
          <t>週日</t>
        </is>
      </c>
      <c r="C18" s="4" t="n">
        <v>1790</v>
      </c>
      <c r="D18" s="4">
        <f>AVERAGE(C12:C18)</f>
        <v/>
      </c>
    </row>
    <row r="19">
      <c r="A19" s="3" t="inlineStr">
        <is>
          <t>2026-05-11</t>
        </is>
      </c>
      <c r="B19" s="4" t="inlineStr">
        <is>
          <t>週一</t>
        </is>
      </c>
      <c r="C19" s="4" t="n">
        <v>3149</v>
      </c>
      <c r="D19" s="4">
        <f>AVERAGE(C13:C19)</f>
        <v/>
      </c>
    </row>
    <row r="20">
      <c r="A20" s="3" t="inlineStr">
        <is>
          <t>2026-05-12</t>
        </is>
      </c>
      <c r="B20" s="4" t="inlineStr">
        <is>
          <t>週二</t>
        </is>
      </c>
      <c r="C20" s="4" t="n">
        <v>3408</v>
      </c>
      <c r="D20" s="4">
        <f>AVERAGE(C14:C20)</f>
        <v/>
      </c>
    </row>
    <row r="21">
      <c r="A21" s="3" t="inlineStr">
        <is>
          <t>2026-05-13</t>
        </is>
      </c>
      <c r="B21" s="4" t="inlineStr">
        <is>
          <t>週三</t>
        </is>
      </c>
      <c r="C21" s="4" t="n">
        <v>3457</v>
      </c>
      <c r="D21" s="4">
        <f>AVERAGE(C15:C21)</f>
        <v/>
      </c>
    </row>
    <row r="22">
      <c r="A22" s="3" t="inlineStr">
        <is>
          <t>2026-05-14</t>
        </is>
      </c>
      <c r="B22" s="4" t="inlineStr">
        <is>
          <t>週四</t>
        </is>
      </c>
      <c r="C22" s="4" t="n">
        <v>3643</v>
      </c>
      <c r="D22" s="4">
        <f>AVERAGE(C16:C22)</f>
        <v/>
      </c>
    </row>
    <row r="23">
      <c r="A23" s="3" t="inlineStr">
        <is>
          <t>2026-05-15</t>
        </is>
      </c>
      <c r="B23" s="4" t="inlineStr">
        <is>
          <t>週五</t>
        </is>
      </c>
      <c r="C23" s="4" t="n">
        <v>3693</v>
      </c>
      <c r="D23" s="4">
        <f>AVERAGE(C17:C23)</f>
        <v/>
      </c>
    </row>
    <row r="24">
      <c r="A24" s="3" t="inlineStr">
        <is>
          <t>2026-05-16</t>
        </is>
      </c>
      <c r="B24" s="4" t="inlineStr">
        <is>
          <t>週六</t>
        </is>
      </c>
      <c r="C24" s="4" t="n">
        <v>2405</v>
      </c>
      <c r="D24" s="4">
        <f>AVERAGE(C18:C24)</f>
        <v/>
      </c>
    </row>
    <row r="25">
      <c r="A25" s="3" t="inlineStr">
        <is>
          <t>2026-05-17</t>
        </is>
      </c>
      <c r="B25" s="4" t="inlineStr">
        <is>
          <t>週日</t>
        </is>
      </c>
      <c r="C25" s="4" t="n">
        <v>2271</v>
      </c>
      <c r="D25" s="4">
        <f>AVERAGE(C19:C25)</f>
        <v/>
      </c>
    </row>
    <row r="26">
      <c r="A26" s="3" t="inlineStr">
        <is>
          <t>2026-05-18</t>
        </is>
      </c>
      <c r="B26" s="4" t="inlineStr">
        <is>
          <t>週一</t>
        </is>
      </c>
      <c r="C26" s="4" t="n">
        <v>3976</v>
      </c>
      <c r="D26" s="4">
        <f>AVERAGE(C20:C26)</f>
        <v/>
      </c>
    </row>
    <row r="27">
      <c r="A27" s="3" t="inlineStr">
        <is>
          <t>2026-05-19</t>
        </is>
      </c>
      <c r="B27" s="4" t="inlineStr">
        <is>
          <t>週二</t>
        </is>
      </c>
      <c r="C27" s="4" t="n">
        <v>3960</v>
      </c>
      <c r="D27" s="4">
        <f>AVERAGE(C21:C27)</f>
        <v/>
      </c>
    </row>
    <row r="28">
      <c r="A28" s="3" t="inlineStr">
        <is>
          <t>2026-05-20</t>
        </is>
      </c>
      <c r="B28" s="4" t="inlineStr">
        <is>
          <t>週三</t>
        </is>
      </c>
      <c r="C28" s="4" t="n">
        <v>4213</v>
      </c>
      <c r="D28" s="4">
        <f>AVERAGE(C22:C28)</f>
        <v/>
      </c>
    </row>
    <row r="29">
      <c r="A29" s="3" t="inlineStr">
        <is>
          <t>2026-05-21</t>
        </is>
      </c>
      <c r="B29" s="4" t="inlineStr">
        <is>
          <t>週四</t>
        </is>
      </c>
      <c r="C29" s="4" t="n">
        <v>4021</v>
      </c>
      <c r="D29" s="4">
        <f>AVERAGE(C23:C29)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每日新增確診（28 天）</t>
        </is>
      </c>
    </row>
    <row r="2">
      <c r="A2" s="6" t="inlineStr">
        <is>
          <t>Pattern A:主色 + 7 日 trailing 移動平均(本日含前 6 日)</t>
        </is>
      </c>
    </row>
    <row r="3">
      <c r="A3" s="7" t="inlineStr">
        <is>
          <t>色彩:#739A6D 直條 + #374C34 均線。Y 軸從零開始;不截斷座標。前 6 天用自適應累積窗口。</t>
        </is>
      </c>
    </row>
    <row r="4">
      <c r="A4" s="8" t="inlineStr">
        <is>
          <t>完整指引：https://drhao.github.io/epi-dataviz-styleguide/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2026-05-21T11:03:26Z</dcterms:created>
  <dcterms:modified xmlns:dcterms="http://purl.org/dc/terms/" xmlns:xsi="http://www.w3.org/2001/XMLSchema-instance" xsi:type="dcterms:W3CDTF">2026-05-21T11:03:26Z</dcterms:modified>
</cp:coreProperties>
</file>